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zfzzzi\Desktop\"/>
    </mc:Choice>
  </mc:AlternateContent>
  <xr:revisionPtr revIDLastSave="0" documentId="8_{E5C8B89B-61B4-47A2-B5AB-F16C691DB9FA}" xr6:coauthVersionLast="47" xr6:coauthVersionMax="47" xr10:uidLastSave="{00000000-0000-0000-0000-000000000000}"/>
  <bookViews>
    <workbookView xWindow="-110" yWindow="-110" windowWidth="25820" windowHeight="15500" tabRatio="991" xr2:uid="{00000000-000D-0000-FFFF-FFFF00000000}"/>
  </bookViews>
  <sheets>
    <sheet name="资产负债表" sheetId="6" r:id="rId1"/>
  </sheets>
  <definedNames>
    <definedName name="_xlnm._FilterDatabase" localSheetId="0" hidden="1">资产负债表!$A$1:$H$1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</calcChain>
</file>

<file path=xl/sharedStrings.xml><?xml version="1.0" encoding="utf-8"?>
<sst xmlns="http://schemas.openxmlformats.org/spreadsheetml/2006/main" count="200" uniqueCount="76">
  <si>
    <t>成本</t>
  </si>
  <si>
    <t>当前市值</t>
  </si>
  <si>
    <t>标的名称</t>
  </si>
  <si>
    <t>华夏人工智能ETF链接A</t>
  </si>
  <si>
    <t>华夏科创50ETF联接C</t>
  </si>
  <si>
    <t>德邦鑫星价值灵活配置混合A</t>
  </si>
  <si>
    <t>广发中证半导体材料设备ETF发起式联接C</t>
  </si>
  <si>
    <t>国投瑞银白银期货（LOF）A</t>
  </si>
  <si>
    <t>南方中证半导体产业指数发起A</t>
  </si>
  <si>
    <t>易沪深300</t>
  </si>
  <si>
    <t>嘉实中证稀土ETF联接A</t>
  </si>
  <si>
    <t>华为股票</t>
  </si>
  <si>
    <t>股票</t>
  </si>
  <si>
    <t>华泰柏瑞纳斯达克100ETF发起式联接(QDII)I</t>
  </si>
  <si>
    <t>建信纳斯达克100指数(QDII)人民币C</t>
  </si>
  <si>
    <t>广发纳斯达克100指数(QDII)人民币C</t>
  </si>
  <si>
    <t>建信纳斯达克100指数(QDII)人民币A</t>
  </si>
  <si>
    <t>活期+</t>
  </si>
  <si>
    <t>现金/活期</t>
  </si>
  <si>
    <t>交银理财稳享固收精选</t>
  </si>
  <si>
    <t>固收理财</t>
  </si>
  <si>
    <t>住房公积金</t>
  </si>
  <si>
    <t>华安黄金ETF联接A</t>
  </si>
  <si>
    <t>建信上海金ETF联接A</t>
  </si>
  <si>
    <t>建行黄金实物</t>
    <phoneticPr fontId="1" type="noConversion"/>
  </si>
  <si>
    <t>黄金</t>
    <phoneticPr fontId="1" type="noConversion"/>
  </si>
  <si>
    <t>美股基金</t>
  </si>
  <si>
    <t>美股基金</t>
    <phoneticPr fontId="1" type="noConversion"/>
  </si>
  <si>
    <t>A股基金</t>
    <phoneticPr fontId="1" type="noConversion"/>
  </si>
  <si>
    <t>大类</t>
    <phoneticPr fontId="1" type="noConversion"/>
  </si>
  <si>
    <t>小类</t>
    <phoneticPr fontId="1" type="noConversion"/>
  </si>
  <si>
    <t>黄金基金</t>
    <phoneticPr fontId="1" type="noConversion"/>
  </si>
  <si>
    <t>A股</t>
    <phoneticPr fontId="1" type="noConversion"/>
  </si>
  <si>
    <t>加密</t>
    <phoneticPr fontId="1" type="noConversion"/>
  </si>
  <si>
    <t>ETH</t>
    <phoneticPr fontId="1" type="noConversion"/>
  </si>
  <si>
    <t>ETH现金</t>
    <phoneticPr fontId="1" type="noConversion"/>
  </si>
  <si>
    <t>贵金属</t>
    <phoneticPr fontId="1" type="noConversion"/>
  </si>
  <si>
    <t>分红</t>
    <phoneticPr fontId="1" type="noConversion"/>
  </si>
  <si>
    <t>美股</t>
    <phoneticPr fontId="1" type="noConversion"/>
  </si>
  <si>
    <t>现金</t>
    <phoneticPr fontId="1" type="noConversion"/>
  </si>
  <si>
    <t>理财</t>
    <phoneticPr fontId="1" type="noConversion"/>
  </si>
  <si>
    <t>公积金</t>
    <phoneticPr fontId="1" type="noConversion"/>
  </si>
  <si>
    <t>账户</t>
    <phoneticPr fontId="1" type="noConversion"/>
  </si>
  <si>
    <t>建行</t>
    <phoneticPr fontId="1" type="noConversion"/>
  </si>
  <si>
    <t>腾讯理财通</t>
  </si>
  <si>
    <t>腾讯理财通</t>
    <phoneticPr fontId="1" type="noConversion"/>
  </si>
  <si>
    <t>同花顺</t>
    <phoneticPr fontId="1" type="noConversion"/>
  </si>
  <si>
    <t>公积金账户</t>
    <phoneticPr fontId="1" type="noConversion"/>
  </si>
  <si>
    <t>华为账户</t>
    <phoneticPr fontId="1" type="noConversion"/>
  </si>
  <si>
    <t>币安</t>
    <phoneticPr fontId="1" type="noConversion"/>
  </si>
  <si>
    <t>微信零钱/零钱通</t>
    <phoneticPr fontId="1" type="noConversion"/>
  </si>
  <si>
    <t>微信</t>
    <phoneticPr fontId="1" type="noConversion"/>
  </si>
  <si>
    <t>建行7332现金</t>
    <phoneticPr fontId="1" type="noConversion"/>
  </si>
  <si>
    <t>Santander4209现金</t>
    <phoneticPr fontId="1" type="noConversion"/>
  </si>
  <si>
    <t>Santander</t>
    <phoneticPr fontId="1" type="noConversion"/>
  </si>
  <si>
    <t>币种</t>
    <phoneticPr fontId="1" type="noConversion"/>
  </si>
  <si>
    <t>CNY</t>
    <phoneticPr fontId="1" type="noConversion"/>
  </si>
  <si>
    <t>MXN</t>
    <phoneticPr fontId="1" type="noConversion"/>
  </si>
  <si>
    <t>IBKR现金</t>
    <phoneticPr fontId="1" type="noConversion"/>
  </si>
  <si>
    <t>IBKR</t>
    <phoneticPr fontId="1" type="noConversion"/>
  </si>
  <si>
    <t>罗 牛 山</t>
    <phoneticPr fontId="1" type="noConversion"/>
  </si>
  <si>
    <t>紫金矿业</t>
    <phoneticPr fontId="1" type="noConversion"/>
  </si>
  <si>
    <t>比亚迪</t>
    <phoneticPr fontId="1" type="noConversion"/>
  </si>
  <si>
    <t>铜陵有色</t>
    <phoneticPr fontId="1" type="noConversion"/>
  </si>
  <si>
    <t>USD</t>
    <phoneticPr fontId="1" type="noConversion"/>
  </si>
  <si>
    <t>资产/负债</t>
    <phoneticPr fontId="1" type="noConversion"/>
  </si>
  <si>
    <t>资产</t>
    <phoneticPr fontId="1" type="noConversion"/>
  </si>
  <si>
    <t>他人借款</t>
    <phoneticPr fontId="1" type="noConversion"/>
  </si>
  <si>
    <t>借款</t>
    <phoneticPr fontId="1" type="noConversion"/>
  </si>
  <si>
    <t>广发7443信用卡</t>
    <phoneticPr fontId="1" type="noConversion"/>
  </si>
  <si>
    <t>广发9711信用卡</t>
    <phoneticPr fontId="1" type="noConversion"/>
  </si>
  <si>
    <t>广发</t>
    <phoneticPr fontId="1" type="noConversion"/>
  </si>
  <si>
    <t>欠款</t>
    <phoneticPr fontId="1" type="noConversion"/>
  </si>
  <si>
    <t>信用卡</t>
    <phoneticPr fontId="1" type="noConversion"/>
  </si>
  <si>
    <t>负债</t>
    <phoneticPr fontId="1" type="noConversion"/>
  </si>
  <si>
    <t>建行0453信用卡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</si>
</sst>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0"/>
      <name val="等线"/>
      <family val="3"/>
      <charset val="134"/>
      <scheme val="minor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</fonts>
  <fills count="28">
    <fill>
      <patternFill patternType="none"/>
    </fill>
    <fill>
      <patternFill patternType="gray125"/>
    </fill>
    <fill>
      <patternFill patternType="solid">
        <fgColor theme="6" tint="0.3998840296639912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1F4E79"/>
      </patternFill>
    </fill>
  </fills>
  <borders count="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4" fillId="8" borderId="0">
      <alignment vertical="center"/>
    </xf>
    <xf numFmtId="0" fontId="5" fillId="9" borderId="0">
      <alignment vertical="center"/>
    </xf>
    <xf numFmtId="0" fontId="4" fillId="10" borderId="0">
      <alignment vertical="center"/>
    </xf>
    <xf numFmtId="0" fontId="5" fillId="11" borderId="0">
      <alignment vertical="center"/>
    </xf>
    <xf numFmtId="0" fontId="6" fillId="12" borderId="1">
      <alignment vertical="center"/>
    </xf>
    <xf numFmtId="0" fontId="7" fillId="0" borderId="0"/>
    <xf numFmtId="0" fontId="5" fillId="13" borderId="0">
      <alignment vertical="center"/>
    </xf>
    <xf numFmtId="0" fontId="5" fillId="14" borderId="0">
      <alignment vertical="center"/>
    </xf>
    <xf numFmtId="0" fontId="8" fillId="14" borderId="0">
      <alignment vertical="center"/>
    </xf>
    <xf numFmtId="0" fontId="5" fillId="11" borderId="0">
      <alignment vertical="center"/>
    </xf>
    <xf numFmtId="0" fontId="5" fillId="15" borderId="0">
      <alignment vertical="center"/>
    </xf>
    <xf numFmtId="0" fontId="4" fillId="16" borderId="0">
      <alignment vertical="center"/>
    </xf>
    <xf numFmtId="0" fontId="5" fillId="13" borderId="0">
      <alignment vertical="center"/>
    </xf>
    <xf numFmtId="0" fontId="4" fillId="17" borderId="0">
      <alignment vertical="center"/>
    </xf>
    <xf numFmtId="0" fontId="5" fillId="18" borderId="0">
      <alignment vertical="center"/>
    </xf>
    <xf numFmtId="0" fontId="5" fillId="8" borderId="0">
      <alignment vertical="center"/>
    </xf>
    <xf numFmtId="0" fontId="4" fillId="9" borderId="0">
      <alignment vertical="center"/>
    </xf>
    <xf numFmtId="0" fontId="4" fillId="19" borderId="0">
      <alignment vertical="center"/>
    </xf>
    <xf numFmtId="0" fontId="5" fillId="20" borderId="0">
      <alignment vertical="center"/>
    </xf>
    <xf numFmtId="0" fontId="5" fillId="21" borderId="0">
      <alignment vertical="center"/>
    </xf>
    <xf numFmtId="0" fontId="5" fillId="22" borderId="0">
      <alignment vertical="center"/>
    </xf>
    <xf numFmtId="0" fontId="9" fillId="15" borderId="0">
      <alignment vertical="center"/>
    </xf>
    <xf numFmtId="0" fontId="7" fillId="23" borderId="2">
      <alignment vertical="center"/>
    </xf>
    <xf numFmtId="0" fontId="4" fillId="24" borderId="0">
      <alignment vertical="center"/>
    </xf>
    <xf numFmtId="0" fontId="10" fillId="25" borderId="3">
      <alignment vertical="center"/>
    </xf>
    <xf numFmtId="0" fontId="11" fillId="25" borderId="4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5" fillId="26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/>
    <xf numFmtId="9" fontId="18" fillId="0" borderId="0">
      <alignment vertical="center"/>
    </xf>
    <xf numFmtId="0" fontId="18" fillId="2" borderId="0">
      <alignment vertical="center"/>
    </xf>
    <xf numFmtId="0" fontId="18" fillId="3" borderId="0">
      <alignment vertical="center"/>
    </xf>
    <xf numFmtId="0" fontId="3" fillId="4" borderId="0">
      <alignment vertical="center"/>
    </xf>
    <xf numFmtId="0" fontId="18" fillId="5" borderId="0">
      <alignment vertical="center"/>
    </xf>
    <xf numFmtId="0" fontId="18" fillId="6" borderId="0">
      <alignment vertical="center"/>
    </xf>
    <xf numFmtId="0" fontId="3" fillId="7" borderId="0">
      <alignment vertical="center"/>
    </xf>
  </cellStyleXfs>
  <cellXfs count="16">
    <xf numFmtId="0" fontId="0" fillId="0" borderId="0" xfId="0"/>
    <xf numFmtId="0" fontId="19" fillId="27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top"/>
    </xf>
    <xf numFmtId="4" fontId="2" fillId="0" borderId="8" xfId="0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4" fontId="2" fillId="0" borderId="8" xfId="0" applyNumberFormat="1" applyFont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8" xfId="33" applyFont="1" applyBorder="1" applyAlignment="1">
      <alignment horizontal="left" vertical="top"/>
    </xf>
    <xf numFmtId="0" fontId="2" fillId="0" borderId="8" xfId="33" applyFont="1" applyBorder="1" applyAlignment="1">
      <alignment horizontal="left" vertical="top"/>
    </xf>
    <xf numFmtId="0" fontId="2" fillId="0" borderId="8" xfId="33" applyFont="1" applyBorder="1" applyAlignment="1">
      <alignment horizontal="left" vertical="top"/>
    </xf>
    <xf numFmtId="0" fontId="2" fillId="0" borderId="8" xfId="33" applyFont="1" applyBorder="1" applyAlignment="1">
      <alignment horizontal="left" vertical="top"/>
    </xf>
    <xf numFmtId="0" fontId="2" fillId="0" borderId="8" xfId="33" applyFont="1" applyBorder="1" applyAlignment="1">
      <alignment horizontal="left" vertical="top"/>
    </xf>
    <xf numFmtId="0" fontId="2" fillId="0" borderId="8" xfId="33" applyFont="1" applyBorder="1" applyAlignment="1">
      <alignment horizontal="left" vertical="top"/>
    </xf>
    <xf numFmtId="0" fontId="2" fillId="0" borderId="8" xfId="33" applyFont="1" applyBorder="1" applyAlignment="1">
      <alignment horizontal="left" vertical="top"/>
    </xf>
    <xf numFmtId="0" fontId="2" fillId="0" borderId="8" xfId="33" applyFont="1" applyBorder="1" applyAlignment="1">
      <alignment horizontal="left" vertical="top"/>
    </xf>
    <xf numFmtId="0" fontId="2" fillId="0" borderId="8" xfId="33" applyFont="1" applyBorder="1" applyAlignment="1">
      <alignment horizontal="left" vertical="top"/>
    </xf>
  </cellXfs>
  <cellStyles count="41">
    <cellStyle name="]" xfId="9" xr:uid="{00000000-0005-0000-0000-00000A000000}"/>
    <cellStyle name="20% - 着色 4 2" xfId="36" xr:uid="{00000000-0005-0000-0000-000025000000}"/>
    <cellStyle name="20% - 着色 5 2" xfId="38" xr:uid="{00000000-0005-0000-0000-000027000000}"/>
    <cellStyle name="40% - 着色 5 2" xfId="39" xr:uid="{00000000-0005-0000-0000-000028000000}"/>
    <cellStyle name="60% - 着色 3 2" xfId="35" xr:uid="{00000000-0005-0000-0000-000024000000}"/>
    <cellStyle name="Normal 2" xfId="6" xr:uid="{00000000-0005-0000-0000-000007000000}"/>
    <cellStyle name="Style 1" xfId="11" xr:uid="{00000000-0005-0000-0000-00000C000000}"/>
    <cellStyle name="Style 10" xfId="7" xr:uid="{00000000-0005-0000-0000-000008000000}"/>
    <cellStyle name="Style 11" xfId="8" xr:uid="{00000000-0005-0000-0000-000009000000}"/>
    <cellStyle name="Style 12" xfId="2" xr:uid="{00000000-0005-0000-0000-000003000000}"/>
    <cellStyle name="Style 13" xfId="10" xr:uid="{00000000-0005-0000-0000-00000B000000}"/>
    <cellStyle name="Style 14" xfId="4" xr:uid="{00000000-0005-0000-0000-000005000000}"/>
    <cellStyle name="Style 15" xfId="13" xr:uid="{00000000-0005-0000-0000-00000E000000}"/>
    <cellStyle name="Style 16" xfId="14" xr:uid="{00000000-0005-0000-0000-00000F000000}"/>
    <cellStyle name="Style 17" xfId="15" xr:uid="{00000000-0005-0000-0000-000010000000}"/>
    <cellStyle name="Style 18" xfId="12" xr:uid="{00000000-0005-0000-0000-00000D000000}"/>
    <cellStyle name="Style 2" xfId="16" xr:uid="{00000000-0005-0000-0000-000011000000}"/>
    <cellStyle name="Style 3" xfId="1" xr:uid="{00000000-0005-0000-0000-000002000000}"/>
    <cellStyle name="Style 4" xfId="17" xr:uid="{00000000-0005-0000-0000-000012000000}"/>
    <cellStyle name="Style 5" xfId="3" xr:uid="{00000000-0005-0000-0000-000004000000}"/>
    <cellStyle name="Style 6" xfId="18" xr:uid="{00000000-0005-0000-0000-000013000000}"/>
    <cellStyle name="Style 7" xfId="19" xr:uid="{00000000-0005-0000-0000-000014000000}"/>
    <cellStyle name="Style 8" xfId="20" xr:uid="{00000000-0005-0000-0000-000015000000}"/>
    <cellStyle name="Style 9" xfId="21" xr:uid="{00000000-0005-0000-0000-000016000000}"/>
    <cellStyle name="Y" xfId="22" xr:uid="{00000000-0005-0000-0000-000017000000}"/>
    <cellStyle name="百分比 2" xfId="34" xr:uid="{00000000-0005-0000-0000-000023000000}"/>
    <cellStyle name="常规" xfId="0" builtinId="0"/>
    <cellStyle name="常规 2" xfId="33" xr:uid="{00000000-0005-0000-0000-000022000000}"/>
    <cellStyle name="酬" xfId="23" xr:uid="{00000000-0005-0000-0000-000018000000}"/>
    <cellStyle name="豟孥芘" xfId="24" xr:uid="{00000000-0005-0000-0000-000019000000}"/>
    <cellStyle name="箋" xfId="25" xr:uid="{00000000-0005-0000-0000-00001A000000}"/>
    <cellStyle name="冏" xfId="26" xr:uid="{00000000-0005-0000-0000-00001B000000}"/>
    <cellStyle name="掔兓h" xfId="27" xr:uid="{00000000-0005-0000-0000-00001C000000}"/>
    <cellStyle name="恬" xfId="28" xr:uid="{00000000-0005-0000-0000-00001D000000}"/>
    <cellStyle name="顨" xfId="29" xr:uid="{00000000-0005-0000-0000-00001E000000}"/>
    <cellStyle name="杨兓h" xfId="5" xr:uid="{00000000-0005-0000-0000-000006000000}"/>
    <cellStyle name="亐" xfId="30" xr:uid="{00000000-0005-0000-0000-00001F000000}"/>
    <cellStyle name="咋来" xfId="31" xr:uid="{00000000-0005-0000-0000-000020000000}"/>
    <cellStyle name="着色 5 2" xfId="37" xr:uid="{00000000-0005-0000-0000-000026000000}"/>
    <cellStyle name="着色 6 2" xfId="40" xr:uid="{00000000-0005-0000-0000-000029000000}"/>
    <cellStyle name="醉敠g" xfId="32" xr:uid="{00000000-0005-0000-0000-000021000000}"/>
  </cellStyles>
  <dxfs count="3">
    <dxf>
      <font>
        <b/>
        <color theme="1" tint="0.24994659260841701"/>
      </font>
      <fill>
        <patternFill patternType="solid">
          <bgColor theme="2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</font>
      <border>
        <bottom style="thin">
          <color theme="1" tint="0.499984740745262"/>
        </bottom>
      </border>
    </dxf>
    <dxf>
      <border>
        <horizontal style="thin">
          <color theme="0" tint="-0.24994659260841701"/>
        </horizontal>
      </border>
    </dxf>
  </dxfs>
  <tableStyles count="1" defaultTableStyle="TableStyleMedium2" defaultPivotStyle="PivotStyleLight16">
    <tableStyle name="预算表格" pivot="0" count="3" xr9:uid="{00000000-0011-0000-FFFF-FFFF00000000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59C2-4CE5-4F62-84E0-7765AB07C40E}">
  <dimension ref="A1:H33"/>
  <sheetViews>
    <sheetView tabSelected="1" workbookViewId="0">
      <selection activeCell="E25" sqref="E25"/>
    </sheetView>
  </sheetViews>
  <sheetFormatPr defaultRowHeight="14" x14ac:dyDescent="0.3"/>
  <cols>
    <col min="1" max="1" width="41" customWidth="1"/>
    <col min="2" max="2" width="13.4140625" customWidth="1"/>
    <col min="3" max="3" width="9.33203125" customWidth="1"/>
    <col min="4" max="4" width="11.75" customWidth="1"/>
    <col min="5" max="5" width="9.58203125" customWidth="1"/>
    <col min="6" max="6" width="10" customWidth="1"/>
    <col min="7" max="7" width="18" customWidth="1"/>
    <col min="8" max="8" width="12" customWidth="1"/>
  </cols>
  <sheetData>
    <row r="1" spans="1:8" ht="28" customHeight="1" x14ac:dyDescent="0.3">
      <c r="A1" s="1" t="s">
        <v>2</v>
      </c>
      <c r="B1" s="1" t="s">
        <v>65</v>
      </c>
      <c r="C1" s="1" t="s">
        <v>55</v>
      </c>
      <c r="D1" s="1" t="s">
        <v>42</v>
      </c>
      <c r="E1" s="1" t="s">
        <v>29</v>
      </c>
      <c r="F1" s="1" t="s">
        <v>30</v>
      </c>
      <c r="G1" s="1" t="s">
        <v>1</v>
      </c>
      <c r="H1" s="1" t="s">
        <v>0</v>
      </c>
    </row>
    <row r="2" spans="1:8" ht="16.5" customHeight="1" x14ac:dyDescent="0.3">
      <c r="A2" s="2" t="s">
        <v>3</v>
      </c>
      <c r="B2" s="2" t="s">
        <v>66</v>
      </c>
      <c r="C2" s="2" t="s">
        <v>56</v>
      </c>
      <c r="D2" s="2" t="s">
        <v>45</v>
      </c>
      <c r="E2" s="2" t="s">
        <v>32</v>
      </c>
      <c r="F2" s="2" t="s">
        <v>28</v>
      </c>
      <c r="G2" s="3">
        <v>10670.38</v>
      </c>
      <c r="H2" s="3">
        <v>11000</v>
      </c>
    </row>
    <row r="3" spans="1:8" ht="16.5" customHeight="1" x14ac:dyDescent="0.3">
      <c r="A3" s="2" t="s">
        <v>4</v>
      </c>
      <c r="B3" s="2" t="s">
        <v>66</v>
      </c>
      <c r="C3" s="2" t="s">
        <v>56</v>
      </c>
      <c r="D3" s="2" t="s">
        <v>45</v>
      </c>
      <c r="E3" s="2" t="s">
        <v>32</v>
      </c>
      <c r="F3" s="2" t="s">
        <v>28</v>
      </c>
      <c r="G3" s="3">
        <v>28489.9</v>
      </c>
      <c r="H3" s="3">
        <v>30000</v>
      </c>
    </row>
    <row r="4" spans="1:8" ht="16.5" customHeight="1" x14ac:dyDescent="0.3">
      <c r="A4" s="2" t="s">
        <v>5</v>
      </c>
      <c r="B4" s="2" t="s">
        <v>66</v>
      </c>
      <c r="C4" s="2" t="s">
        <v>56</v>
      </c>
      <c r="D4" s="2" t="s">
        <v>45</v>
      </c>
      <c r="E4" s="2" t="s">
        <v>32</v>
      </c>
      <c r="F4" s="2" t="s">
        <v>28</v>
      </c>
      <c r="G4" s="3">
        <v>10180.9</v>
      </c>
      <c r="H4" s="3">
        <v>9500</v>
      </c>
    </row>
    <row r="5" spans="1:8" ht="16.5" customHeight="1" x14ac:dyDescent="0.3">
      <c r="A5" s="2" t="s">
        <v>6</v>
      </c>
      <c r="B5" s="2" t="s">
        <v>66</v>
      </c>
      <c r="C5" s="2" t="s">
        <v>56</v>
      </c>
      <c r="D5" s="8" t="s">
        <v>44</v>
      </c>
      <c r="E5" s="2" t="s">
        <v>32</v>
      </c>
      <c r="F5" s="2" t="s">
        <v>28</v>
      </c>
      <c r="G5" s="3">
        <v>2446.29</v>
      </c>
      <c r="H5" s="3">
        <v>2480</v>
      </c>
    </row>
    <row r="6" spans="1:8" ht="16.5" customHeight="1" x14ac:dyDescent="0.3">
      <c r="A6" s="2" t="s">
        <v>7</v>
      </c>
      <c r="B6" s="2" t="s">
        <v>66</v>
      </c>
      <c r="C6" s="2" t="s">
        <v>56</v>
      </c>
      <c r="D6" s="9" t="s">
        <v>44</v>
      </c>
      <c r="E6" s="2" t="s">
        <v>32</v>
      </c>
      <c r="F6" s="2" t="s">
        <v>28</v>
      </c>
      <c r="G6" s="3">
        <v>179.1</v>
      </c>
      <c r="H6" s="3">
        <v>200</v>
      </c>
    </row>
    <row r="7" spans="1:8" ht="16.5" customHeight="1" x14ac:dyDescent="0.3">
      <c r="A7" s="2" t="s">
        <v>8</v>
      </c>
      <c r="B7" s="2" t="s">
        <v>66</v>
      </c>
      <c r="C7" s="2" t="s">
        <v>56</v>
      </c>
      <c r="D7" s="2" t="s">
        <v>43</v>
      </c>
      <c r="E7" s="2" t="s">
        <v>32</v>
      </c>
      <c r="F7" s="2" t="s">
        <v>28</v>
      </c>
      <c r="G7" s="3">
        <v>11261.58</v>
      </c>
      <c r="H7" s="3">
        <f>11853.8-3992.56</f>
        <v>7861.24</v>
      </c>
    </row>
    <row r="8" spans="1:8" ht="16.5" customHeight="1" x14ac:dyDescent="0.3">
      <c r="A8" s="2" t="s">
        <v>9</v>
      </c>
      <c r="B8" s="2" t="s">
        <v>66</v>
      </c>
      <c r="C8" s="2" t="s">
        <v>56</v>
      </c>
      <c r="D8" s="2" t="s">
        <v>43</v>
      </c>
      <c r="E8" s="2" t="s">
        <v>32</v>
      </c>
      <c r="F8" s="2" t="s">
        <v>28</v>
      </c>
      <c r="G8" s="3">
        <v>8001.45</v>
      </c>
      <c r="H8" s="3">
        <v>8000</v>
      </c>
    </row>
    <row r="9" spans="1:8" ht="16.5" customHeight="1" x14ac:dyDescent="0.3">
      <c r="A9" s="2" t="s">
        <v>10</v>
      </c>
      <c r="B9" s="2" t="s">
        <v>66</v>
      </c>
      <c r="C9" s="2" t="s">
        <v>56</v>
      </c>
      <c r="D9" s="2" t="s">
        <v>43</v>
      </c>
      <c r="E9" s="2" t="s">
        <v>32</v>
      </c>
      <c r="F9" s="2" t="s">
        <v>28</v>
      </c>
      <c r="G9" s="3">
        <v>51195.33</v>
      </c>
      <c r="H9" s="3">
        <v>50000</v>
      </c>
    </row>
    <row r="10" spans="1:8" ht="16.5" customHeight="1" x14ac:dyDescent="0.3">
      <c r="A10" s="2" t="s">
        <v>11</v>
      </c>
      <c r="B10" s="2" t="s">
        <v>66</v>
      </c>
      <c r="C10" s="2" t="s">
        <v>56</v>
      </c>
      <c r="D10" s="2" t="s">
        <v>48</v>
      </c>
      <c r="E10" s="2" t="s">
        <v>37</v>
      </c>
      <c r="F10" s="2" t="s">
        <v>12</v>
      </c>
      <c r="G10" s="3">
        <v>318000</v>
      </c>
      <c r="H10" s="3">
        <v>318000</v>
      </c>
    </row>
    <row r="11" spans="1:8" ht="16.5" x14ac:dyDescent="0.3">
      <c r="A11" s="4" t="s">
        <v>21</v>
      </c>
      <c r="B11" s="2" t="s">
        <v>66</v>
      </c>
      <c r="C11" s="2" t="s">
        <v>56</v>
      </c>
      <c r="D11" s="4" t="s">
        <v>47</v>
      </c>
      <c r="E11" s="4" t="s">
        <v>41</v>
      </c>
      <c r="F11" s="4" t="s">
        <v>18</v>
      </c>
      <c r="G11" s="5">
        <v>57414.63</v>
      </c>
      <c r="H11" s="5">
        <v>57414.63</v>
      </c>
    </row>
    <row r="12" spans="1:8" ht="16.5" x14ac:dyDescent="0.3">
      <c r="A12" s="4" t="s">
        <v>22</v>
      </c>
      <c r="B12" s="2" t="s">
        <v>66</v>
      </c>
      <c r="C12" s="2" t="s">
        <v>56</v>
      </c>
      <c r="D12" s="10" t="s">
        <v>44</v>
      </c>
      <c r="E12" s="4" t="s">
        <v>36</v>
      </c>
      <c r="F12" s="4" t="s">
        <v>31</v>
      </c>
      <c r="G12" s="5">
        <v>2264.9499999999998</v>
      </c>
      <c r="H12" s="4">
        <v>2300</v>
      </c>
    </row>
    <row r="13" spans="1:8" ht="16.5" x14ac:dyDescent="0.3">
      <c r="A13" s="4" t="s">
        <v>23</v>
      </c>
      <c r="B13" s="2" t="s">
        <v>66</v>
      </c>
      <c r="C13" s="2" t="s">
        <v>56</v>
      </c>
      <c r="D13" s="2" t="s">
        <v>43</v>
      </c>
      <c r="E13" s="4" t="s">
        <v>36</v>
      </c>
      <c r="F13" s="4" t="s">
        <v>31</v>
      </c>
      <c r="G13" s="5">
        <v>34468.49</v>
      </c>
      <c r="H13" s="4">
        <v>30000</v>
      </c>
    </row>
    <row r="14" spans="1:8" ht="16.5" x14ac:dyDescent="0.3">
      <c r="A14" s="4" t="s">
        <v>24</v>
      </c>
      <c r="B14" s="2" t="s">
        <v>66</v>
      </c>
      <c r="C14" s="2" t="s">
        <v>56</v>
      </c>
      <c r="D14" s="2" t="s">
        <v>43</v>
      </c>
      <c r="E14" s="4" t="s">
        <v>36</v>
      </c>
      <c r="F14" s="4" t="s">
        <v>25</v>
      </c>
      <c r="G14" s="5">
        <v>11040.9</v>
      </c>
      <c r="H14" s="5">
        <v>12495</v>
      </c>
    </row>
    <row r="15" spans="1:8" ht="16.5" x14ac:dyDescent="0.3">
      <c r="A15" s="4" t="s">
        <v>35</v>
      </c>
      <c r="B15" s="2" t="s">
        <v>66</v>
      </c>
      <c r="C15" s="2" t="s">
        <v>64</v>
      </c>
      <c r="D15" s="4" t="s">
        <v>49</v>
      </c>
      <c r="E15" s="4" t="s">
        <v>33</v>
      </c>
      <c r="F15" s="4" t="s">
        <v>34</v>
      </c>
      <c r="G15" s="4">
        <v>679.26</v>
      </c>
      <c r="H15" s="4">
        <v>1034.78</v>
      </c>
    </row>
    <row r="16" spans="1:8" ht="16.5" x14ac:dyDescent="0.3">
      <c r="A16" s="4" t="s">
        <v>19</v>
      </c>
      <c r="B16" s="2" t="s">
        <v>66</v>
      </c>
      <c r="C16" s="2" t="s">
        <v>56</v>
      </c>
      <c r="D16" s="11" t="s">
        <v>43</v>
      </c>
      <c r="E16" s="4" t="s">
        <v>40</v>
      </c>
      <c r="F16" s="4" t="s">
        <v>20</v>
      </c>
      <c r="G16" s="5">
        <v>50202.09</v>
      </c>
      <c r="H16" s="5">
        <v>50000</v>
      </c>
    </row>
    <row r="17" spans="1:8" ht="16.5" x14ac:dyDescent="0.3">
      <c r="A17" s="2" t="s">
        <v>13</v>
      </c>
      <c r="B17" s="2" t="s">
        <v>66</v>
      </c>
      <c r="C17" s="2" t="s">
        <v>56</v>
      </c>
      <c r="D17" s="12" t="s">
        <v>44</v>
      </c>
      <c r="E17" s="2" t="s">
        <v>38</v>
      </c>
      <c r="F17" s="2" t="s">
        <v>27</v>
      </c>
      <c r="G17" s="3">
        <v>1358.3</v>
      </c>
      <c r="H17" s="3">
        <v>1400</v>
      </c>
    </row>
    <row r="18" spans="1:8" ht="16.5" x14ac:dyDescent="0.3">
      <c r="A18" s="2" t="s">
        <v>14</v>
      </c>
      <c r="B18" s="2" t="s">
        <v>66</v>
      </c>
      <c r="C18" s="2" t="s">
        <v>56</v>
      </c>
      <c r="D18" s="13" t="s">
        <v>44</v>
      </c>
      <c r="E18" s="2" t="s">
        <v>38</v>
      </c>
      <c r="F18" s="2" t="s">
        <v>27</v>
      </c>
      <c r="G18" s="3">
        <v>125.45</v>
      </c>
      <c r="H18" s="3">
        <v>130</v>
      </c>
    </row>
    <row r="19" spans="1:8" ht="16.5" x14ac:dyDescent="0.3">
      <c r="A19" s="2" t="s">
        <v>15</v>
      </c>
      <c r="B19" s="2" t="s">
        <v>66</v>
      </c>
      <c r="C19" s="2" t="s">
        <v>56</v>
      </c>
      <c r="D19" s="14" t="s">
        <v>44</v>
      </c>
      <c r="E19" s="2" t="s">
        <v>38</v>
      </c>
      <c r="F19" s="7" t="s">
        <v>26</v>
      </c>
      <c r="G19" s="3">
        <v>135.13</v>
      </c>
      <c r="H19" s="3">
        <v>140</v>
      </c>
    </row>
    <row r="20" spans="1:8" ht="16.5" x14ac:dyDescent="0.3">
      <c r="A20" s="2" t="s">
        <v>16</v>
      </c>
      <c r="B20" s="2" t="s">
        <v>66</v>
      </c>
      <c r="C20" s="2" t="s">
        <v>56</v>
      </c>
      <c r="D20" s="15" t="s">
        <v>44</v>
      </c>
      <c r="E20" s="2" t="s">
        <v>38</v>
      </c>
      <c r="F20" s="7" t="s">
        <v>26</v>
      </c>
      <c r="G20" s="3">
        <v>125.4</v>
      </c>
      <c r="H20" s="3">
        <v>130</v>
      </c>
    </row>
    <row r="21" spans="1:8" ht="16.5" x14ac:dyDescent="0.3">
      <c r="A21" s="4" t="s">
        <v>17</v>
      </c>
      <c r="B21" s="2" t="s">
        <v>66</v>
      </c>
      <c r="C21" s="2" t="s">
        <v>56</v>
      </c>
      <c r="D21" s="4" t="s">
        <v>45</v>
      </c>
      <c r="E21" s="4" t="s">
        <v>39</v>
      </c>
      <c r="F21" s="4" t="s">
        <v>18</v>
      </c>
      <c r="G21" s="5">
        <v>1422.42</v>
      </c>
      <c r="H21" s="5">
        <v>1422.42</v>
      </c>
    </row>
    <row r="22" spans="1:8" ht="16.5" x14ac:dyDescent="0.3">
      <c r="A22" s="4" t="s">
        <v>50</v>
      </c>
      <c r="B22" s="2" t="s">
        <v>66</v>
      </c>
      <c r="C22" s="2" t="s">
        <v>56</v>
      </c>
      <c r="D22" s="4" t="s">
        <v>51</v>
      </c>
      <c r="E22" s="4" t="s">
        <v>39</v>
      </c>
      <c r="F22" s="4" t="s">
        <v>18</v>
      </c>
      <c r="G22" s="5">
        <v>578.51</v>
      </c>
      <c r="H22" s="5">
        <v>578.51</v>
      </c>
    </row>
    <row r="23" spans="1:8" ht="16.5" x14ac:dyDescent="0.3">
      <c r="A23" s="4" t="s">
        <v>52</v>
      </c>
      <c r="B23" s="2" t="s">
        <v>66</v>
      </c>
      <c r="C23" s="2" t="s">
        <v>56</v>
      </c>
      <c r="D23" s="4" t="s">
        <v>43</v>
      </c>
      <c r="E23" s="4" t="s">
        <v>39</v>
      </c>
      <c r="F23" s="4" t="s">
        <v>18</v>
      </c>
      <c r="G23" s="5">
        <v>0</v>
      </c>
      <c r="H23" s="5">
        <v>0</v>
      </c>
    </row>
    <row r="24" spans="1:8" ht="16.5" x14ac:dyDescent="0.3">
      <c r="A24" s="6" t="s">
        <v>53</v>
      </c>
      <c r="B24" s="2" t="s">
        <v>66</v>
      </c>
      <c r="C24" s="6" t="s">
        <v>57</v>
      </c>
      <c r="D24" s="4" t="s">
        <v>54</v>
      </c>
      <c r="E24" s="4" t="s">
        <v>39</v>
      </c>
      <c r="F24" s="4" t="s">
        <v>18</v>
      </c>
      <c r="G24" s="5">
        <v>109924.52</v>
      </c>
      <c r="H24" s="5">
        <v>109924.52</v>
      </c>
    </row>
    <row r="25" spans="1:8" ht="16.5" x14ac:dyDescent="0.3">
      <c r="A25" s="6" t="s">
        <v>58</v>
      </c>
      <c r="B25" s="2" t="s">
        <v>66</v>
      </c>
      <c r="C25" s="6" t="s">
        <v>57</v>
      </c>
      <c r="D25" s="4" t="s">
        <v>59</v>
      </c>
      <c r="E25" s="4" t="s">
        <v>39</v>
      </c>
      <c r="F25" s="4" t="s">
        <v>18</v>
      </c>
      <c r="G25" s="5">
        <v>10000</v>
      </c>
      <c r="H25" s="5">
        <v>10000</v>
      </c>
    </row>
    <row r="26" spans="1:8" ht="16.5" x14ac:dyDescent="0.3">
      <c r="A26" s="6" t="s">
        <v>60</v>
      </c>
      <c r="B26" s="2" t="s">
        <v>66</v>
      </c>
      <c r="C26" s="2" t="s">
        <v>56</v>
      </c>
      <c r="D26" s="2" t="s">
        <v>46</v>
      </c>
      <c r="E26" s="2" t="s">
        <v>32</v>
      </c>
      <c r="F26" s="2" t="s">
        <v>32</v>
      </c>
      <c r="G26" s="5">
        <v>2292</v>
      </c>
      <c r="H26" s="5">
        <v>3125.3999999999996</v>
      </c>
    </row>
    <row r="27" spans="1:8" ht="16.5" x14ac:dyDescent="0.3">
      <c r="A27" s="6" t="s">
        <v>61</v>
      </c>
      <c r="B27" s="2" t="s">
        <v>66</v>
      </c>
      <c r="C27" s="2" t="s">
        <v>56</v>
      </c>
      <c r="D27" s="2" t="s">
        <v>46</v>
      </c>
      <c r="E27" s="2" t="s">
        <v>32</v>
      </c>
      <c r="F27" s="2" t="s">
        <v>32</v>
      </c>
      <c r="G27" s="5">
        <v>32113</v>
      </c>
      <c r="H27" s="5">
        <v>32475.95</v>
      </c>
    </row>
    <row r="28" spans="1:8" ht="16.5" x14ac:dyDescent="0.3">
      <c r="A28" s="6" t="s">
        <v>62</v>
      </c>
      <c r="B28" s="2" t="s">
        <v>66</v>
      </c>
      <c r="C28" s="2" t="s">
        <v>56</v>
      </c>
      <c r="D28" s="2" t="s">
        <v>46</v>
      </c>
      <c r="E28" s="2" t="s">
        <v>32</v>
      </c>
      <c r="F28" s="2" t="s">
        <v>32</v>
      </c>
      <c r="G28" s="5">
        <v>9027</v>
      </c>
      <c r="H28" s="5">
        <v>9399.9</v>
      </c>
    </row>
    <row r="29" spans="1:8" ht="16.5" x14ac:dyDescent="0.3">
      <c r="A29" s="6" t="s">
        <v>63</v>
      </c>
      <c r="B29" s="2" t="s">
        <v>66</v>
      </c>
      <c r="C29" s="2" t="s">
        <v>56</v>
      </c>
      <c r="D29" s="2" t="s">
        <v>46</v>
      </c>
      <c r="E29" s="2" t="s">
        <v>32</v>
      </c>
      <c r="F29" s="2" t="s">
        <v>32</v>
      </c>
      <c r="G29" s="5">
        <v>7755</v>
      </c>
      <c r="H29" s="5">
        <v>9771.2999999999993</v>
      </c>
    </row>
    <row r="30" spans="1:8" ht="16.5" x14ac:dyDescent="0.3">
      <c r="A30" s="6" t="s">
        <v>67</v>
      </c>
      <c r="B30" s="2" t="s">
        <v>66</v>
      </c>
      <c r="C30" s="6" t="s">
        <v>56</v>
      </c>
      <c r="D30" s="4" t="s">
        <v>68</v>
      </c>
      <c r="E30" s="4" t="s">
        <v>68</v>
      </c>
      <c r="F30" s="4" t="s">
        <v>68</v>
      </c>
      <c r="G30" s="5">
        <v>55000</v>
      </c>
      <c r="H30" s="5">
        <v>55000</v>
      </c>
    </row>
    <row r="31" spans="1:8" ht="16.5" x14ac:dyDescent="0.3">
      <c r="A31" s="6" t="s">
        <v>75</v>
      </c>
      <c r="B31" s="2" t="s">
        <v>74</v>
      </c>
      <c r="C31" s="6" t="s">
        <v>56</v>
      </c>
      <c r="D31" s="4" t="s">
        <v>43</v>
      </c>
      <c r="E31" s="4" t="s">
        <v>72</v>
      </c>
      <c r="F31" s="4" t="s">
        <v>73</v>
      </c>
      <c r="G31" s="5">
        <v>-25313.26</v>
      </c>
      <c r="H31" s="5">
        <v>-25313.26</v>
      </c>
    </row>
    <row r="32" spans="1:8" ht="16.5" x14ac:dyDescent="0.3">
      <c r="A32" s="6" t="s">
        <v>69</v>
      </c>
      <c r="B32" s="2" t="s">
        <v>74</v>
      </c>
      <c r="C32" s="2" t="s">
        <v>56</v>
      </c>
      <c r="D32" s="2" t="s">
        <v>71</v>
      </c>
      <c r="E32" s="2" t="s">
        <v>72</v>
      </c>
      <c r="F32" s="2" t="s">
        <v>73</v>
      </c>
      <c r="G32" s="5">
        <v>-188.7</v>
      </c>
      <c r="H32" s="5">
        <v>-188.7</v>
      </c>
    </row>
    <row r="33" spans="1:8" ht="16.5" x14ac:dyDescent="0.3">
      <c r="A33" s="6" t="s">
        <v>70</v>
      </c>
      <c r="B33" s="2" t="s">
        <v>74</v>
      </c>
      <c r="C33" s="2" t="s">
        <v>64</v>
      </c>
      <c r="D33" s="2" t="s">
        <v>71</v>
      </c>
      <c r="E33" s="2" t="s">
        <v>72</v>
      </c>
      <c r="F33" s="2" t="s">
        <v>73</v>
      </c>
      <c r="G33" s="5">
        <v>-965.72</v>
      </c>
      <c r="H33" s="5">
        <v>-965.72</v>
      </c>
    </row>
  </sheetData>
  <autoFilter ref="A1:H1" xr:uid="{428459C2-4CE5-4F62-84E0-7765AB07C40E}">
    <sortState xmlns:xlrd2="http://schemas.microsoft.com/office/spreadsheetml/2017/richdata2" ref="A2:H24">
      <sortCondition ref="E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zhu</dc:creator>
  <cp:lastModifiedBy>展峰 黄</cp:lastModifiedBy>
  <dcterms:created xsi:type="dcterms:W3CDTF">2015-06-05T18:19:00Z</dcterms:created>
  <dcterms:modified xsi:type="dcterms:W3CDTF">2026-02-13T13:23:16Z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492CC0B84E804FDCB15DBBF052C85CEE_13</vt:lpwstr>
  </property>
  <property fmtid="{D5CDD505-2E9C-101B-9397-08002B2CF9AE}" pid="4" name="EM_Doc_Temp_ID">
    <vt:lpwstr>e6f3e7cc</vt:lpwstr>
  </property>
  <property fmtid="{D5CDD505-2E9C-101B-9397-08002B2CF9AE}" pid="5" name="KSOReadingLayout">
    <vt:bool>false</vt:bool>
  </property>
</Properties>
</file>